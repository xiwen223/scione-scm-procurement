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fc4bbdd5-5cf2-4a61-8b44-b74e7f152223_采购单-20260824-950339933738860544 (1).zip.223\"/>
    </mc:Choice>
  </mc:AlternateContent>
  <bookViews>
    <workbookView windowWidth="28800" windowHeight="12255"/>
  </bookViews>
  <sheets>
    <sheet name="产品信息" sheetId="1" r:id="rId1"/>
    <sheet name="单据信息" sheetId="2" r:id="rId2"/>
    <sheet name="物流信息" sheetId="3" r:id="rId3"/>
    <sheet name="到货记录" sheetId="4" r:id="rId4"/>
    <sheet name="跟单记录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8" name="ID_E802E67DC4E84DE9BD7078780778C929" descr="c136e0bee4d6c992b842eafff366dcb0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3675" y="14395450"/>
          <a:ext cx="966470" cy="950595"/>
        </a:xfrm>
        <a:prstGeom prst="rect">
          <a:avLst/>
        </a:prstGeom>
      </xdr:spPr>
    </xdr:pic>
  </etc:cellImage>
  <etc:cellImage>
    <xdr:pic>
      <xdr:nvPicPr>
        <xdr:cNvPr id="17" name="ID_65B6AE268706440E8A7AB4DC7C44ABB8" descr="c101c0acd3edb5b78457493617cc389f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513675" y="13506450"/>
          <a:ext cx="927735" cy="946785"/>
        </a:xfrm>
        <a:prstGeom prst="rect">
          <a:avLst/>
        </a:prstGeom>
      </xdr:spPr>
    </xdr:pic>
  </etc:cellImage>
  <etc:cellImage>
    <xdr:pic>
      <xdr:nvPicPr>
        <xdr:cNvPr id="16" name="ID_46021DF6BC834D1DB07806494924A153" descr="713e1c64af98259062366dd247a18975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513675" y="12617450"/>
          <a:ext cx="939800" cy="955040"/>
        </a:xfrm>
        <a:prstGeom prst="rect">
          <a:avLst/>
        </a:prstGeom>
      </xdr:spPr>
    </xdr:pic>
  </etc:cellImage>
  <etc:cellImage>
    <xdr:pic>
      <xdr:nvPicPr>
        <xdr:cNvPr id="14" name="ID_CFB17FFFE7854D7296E84E6C5D6974F3" descr="0dc058d5bb41f2d34732843661d3969a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513675" y="10839450"/>
          <a:ext cx="962025" cy="957580"/>
        </a:xfrm>
        <a:prstGeom prst="rect">
          <a:avLst/>
        </a:prstGeom>
      </xdr:spPr>
    </xdr:pic>
  </etc:cellImage>
  <etc:cellImage>
    <xdr:pic>
      <xdr:nvPicPr>
        <xdr:cNvPr id="12" name="ID_9D873707199148D3852075B8591A66DD" descr="5eed6e8e8b013e6b434b074644bfa412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513675" y="9061450"/>
          <a:ext cx="948690" cy="963295"/>
        </a:xfrm>
        <a:prstGeom prst="rect">
          <a:avLst/>
        </a:prstGeom>
      </xdr:spPr>
    </xdr:pic>
  </etc:cellImage>
  <etc:cellImage>
    <xdr:pic>
      <xdr:nvPicPr>
        <xdr:cNvPr id="13" name="ID_A5D8A9507C6248F19F67B107B7B0F26D" descr="07e25e92f52cceb5b3dbe0953dcb828a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513675" y="9950450"/>
          <a:ext cx="955040" cy="954405"/>
        </a:xfrm>
        <a:prstGeom prst="rect">
          <a:avLst/>
        </a:prstGeom>
      </xdr:spPr>
    </xdr:pic>
  </etc:cellImage>
  <etc:cellImage>
    <xdr:pic>
      <xdr:nvPicPr>
        <xdr:cNvPr id="11" name="ID_3ADD1FDC468C4646889514890B96AC4A" descr="9b73b772b13601e6ae335d610049ef19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513675" y="8172450"/>
          <a:ext cx="950595" cy="956310"/>
        </a:xfrm>
        <a:prstGeom prst="rect">
          <a:avLst/>
        </a:prstGeom>
      </xdr:spPr>
    </xdr:pic>
  </etc:cellImage>
  <etc:cellImage>
    <xdr:pic>
      <xdr:nvPicPr>
        <xdr:cNvPr id="10" name="ID_7F485DD943FC4071B661C6BAE36528A9" descr="31def1a43398cd284ae6846f51954abb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513675" y="7283450"/>
          <a:ext cx="955040" cy="948055"/>
        </a:xfrm>
        <a:prstGeom prst="rect">
          <a:avLst/>
        </a:prstGeom>
      </xdr:spPr>
    </xdr:pic>
  </etc:cellImage>
  <etc:cellImage>
    <xdr:pic>
      <xdr:nvPicPr>
        <xdr:cNvPr id="15" name="ID_D53966EC371447F5A8E672FE2E184183" descr="b7beb5371f279aae84d6cf30531be1bb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513675" y="11728450"/>
          <a:ext cx="960120" cy="961390"/>
        </a:xfrm>
        <a:prstGeom prst="rect">
          <a:avLst/>
        </a:prstGeom>
      </xdr:spPr>
    </xdr:pic>
  </etc:cellImage>
  <etc:cellImage>
    <xdr:pic>
      <xdr:nvPicPr>
        <xdr:cNvPr id="2" name="ID_F0C898572B0A47839DBBC239E6634427" descr="c5d0eba865cf3a6f5709fe3e42d10001.jp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513675" y="171450"/>
          <a:ext cx="952500" cy="955675"/>
        </a:xfrm>
        <a:prstGeom prst="rect">
          <a:avLst/>
        </a:prstGeom>
      </xdr:spPr>
    </xdr:pic>
  </etc:cellImage>
  <etc:cellImage>
    <xdr:pic>
      <xdr:nvPicPr>
        <xdr:cNvPr id="9" name="ID_E52FC0A0D5534C439AA1FB71CAF200DE" descr="d15637ec5b535af4c6694a37133b77de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513675" y="6394450"/>
          <a:ext cx="938530" cy="958215"/>
        </a:xfrm>
        <a:prstGeom prst="rect">
          <a:avLst/>
        </a:prstGeom>
      </xdr:spPr>
    </xdr:pic>
  </etc:cellImage>
  <etc:cellImage>
    <xdr:pic>
      <xdr:nvPicPr>
        <xdr:cNvPr id="6" name="ID_84D660BEA2174DD8890AD18B654A338E" descr="091a1692456cdb93fffa6f3cc071e958.jp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0513675" y="3727450"/>
          <a:ext cx="952500" cy="955675"/>
        </a:xfrm>
        <a:prstGeom prst="rect">
          <a:avLst/>
        </a:prstGeom>
      </xdr:spPr>
    </xdr:pic>
  </etc:cellImage>
  <etc:cellImage>
    <xdr:pic>
      <xdr:nvPicPr>
        <xdr:cNvPr id="3" name="ID_5DC36FCF14F945D88466F3C053F47747" descr="18ad85cc972502e9b8d049c236831f24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0513675" y="1060450"/>
          <a:ext cx="939165" cy="946150"/>
        </a:xfrm>
        <a:prstGeom prst="rect">
          <a:avLst/>
        </a:prstGeom>
      </xdr:spPr>
    </xdr:pic>
  </etc:cellImage>
  <etc:cellImage>
    <xdr:pic>
      <xdr:nvPicPr>
        <xdr:cNvPr id="4" name="ID_F41843260C5B480C8AF047361A9ABA62" descr="e02d8cc1dcc945449ba982f09b292a82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513675" y="1949450"/>
          <a:ext cx="960755" cy="955675"/>
        </a:xfrm>
        <a:prstGeom prst="rect">
          <a:avLst/>
        </a:prstGeom>
      </xdr:spPr>
    </xdr:pic>
  </etc:cellImage>
  <etc:cellImage>
    <xdr:pic>
      <xdr:nvPicPr>
        <xdr:cNvPr id="5" name="ID_FFAFB950242B44B8A5B50A7BAA83AC2B" descr="e02d8cc1dcc945449ba982f09b292a82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513675" y="2838450"/>
          <a:ext cx="960755" cy="955675"/>
        </a:xfrm>
        <a:prstGeom prst="rect">
          <a:avLst/>
        </a:prstGeom>
      </xdr:spPr>
    </xdr:pic>
  </etc:cellImage>
  <etc:cellImage>
    <xdr:pic>
      <xdr:nvPicPr>
        <xdr:cNvPr id="7" name="ID_A279820470814A9EBA5A75DA34024E16" descr="23061b7d963e8cc413a64034aad18b8d.jp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0513675" y="4616450"/>
          <a:ext cx="952500" cy="955675"/>
        </a:xfrm>
        <a:prstGeom prst="rect">
          <a:avLst/>
        </a:prstGeom>
      </xdr:spPr>
    </xdr:pic>
  </etc:cellImage>
  <etc:cellImage>
    <xdr:pic>
      <xdr:nvPicPr>
        <xdr:cNvPr id="8" name="ID_1A167BC9B4424D23B4323291B2A49627" descr="2bf0202e0c8393cf6cdeb782b581fc09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0513675" y="5505450"/>
          <a:ext cx="924560" cy="93853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<sst xmlns="http://schemas.openxmlformats.org/spreadsheetml/2006/main" count="175" uniqueCount="99">
  <si>
    <t>采购单号</t>
  </si>
  <si>
    <t>1688订单号</t>
  </si>
  <si>
    <t>供应商</t>
  </si>
  <si>
    <t>下单时间</t>
  </si>
  <si>
    <t>款名</t>
  </si>
  <si>
    <t>品名</t>
  </si>
  <si>
    <t>SKU</t>
  </si>
  <si>
    <t>店铺</t>
  </si>
  <si>
    <t>FNSKU</t>
  </si>
  <si>
    <t>采购量</t>
  </si>
  <si>
    <t>单价</t>
  </si>
  <si>
    <t>待到货量</t>
  </si>
  <si>
    <t>到货量</t>
  </si>
  <si>
    <t>图片</t>
  </si>
  <si>
    <t>产品维度</t>
  </si>
  <si>
    <t>PO260818070</t>
  </si>
  <si>
    <t>吉林省瑞沅科技有限公司</t>
  </si>
  <si>
    <t>2026-08-20 14:13:59</t>
  </si>
  <si>
    <t>HZ-16mm 月牙款Y瞳孔-60pcs（6个色，每个色10个）106g-辉锐</t>
  </si>
  <si>
    <t>SG10034</t>
  </si>
  <si>
    <t>杭州嘉品-US</t>
  </si>
  <si>
    <t>X0044ZT9T1</t>
  </si>
  <si>
    <t>明细维度</t>
  </si>
  <si>
    <t>HZ-12-35mm 月牙款Y瞳孔6色+三角鼻2色 （80pcs）+说明书+25mm测量工具</t>
  </si>
  <si>
    <t>WJ21694</t>
  </si>
  <si>
    <t>X004BVYS7B</t>
  </si>
  <si>
    <t>HZ-12-30mm透明眼(80pcs)+DIY</t>
  </si>
  <si>
    <t>SG10102</t>
  </si>
  <si>
    <t>X004MAW5KD</t>
  </si>
  <si>
    <t>杭州嘉品-DE</t>
  </si>
  <si>
    <t>X002H7YYTF</t>
  </si>
  <si>
    <t>HZ-20mm3D月牙款透明眼+蓝色(50pcs)-辉锐</t>
  </si>
  <si>
    <t>SG10126</t>
  </si>
  <si>
    <t>X004LQCXAZ</t>
  </si>
  <si>
    <t>PO260818071</t>
  </si>
  <si>
    <t>义乌市双爱纽扣商行</t>
  </si>
  <si>
    <t>2026-08-20 14:25:31</t>
  </si>
  <si>
    <t>HZ-10mm塑料眼睛（200pcs）98g</t>
  </si>
  <si>
    <t>SG104302</t>
  </si>
  <si>
    <t>X001MXPWEB</t>
  </si>
  <si>
    <t>PO260818072</t>
  </si>
  <si>
    <t>深圳市七彩精灵电子商务有限公司</t>
  </si>
  <si>
    <t>2026-08-19 17:30:19</t>
  </si>
  <si>
    <t>HZ-12-30mm7种动物鼻子(54pcs)</t>
  </si>
  <si>
    <t>SG110529</t>
  </si>
  <si>
    <t>X004PQRWTN</t>
  </si>
  <si>
    <t>PO260818073</t>
  </si>
  <si>
    <t>浦江宇铭饰品有限公司</t>
  </si>
  <si>
    <t>2026-08-19 11:29:12</t>
  </si>
  <si>
    <t>HZ-小丑龙眼睛16-24mm 50pcs133g</t>
  </si>
  <si>
    <t>SG107402</t>
  </si>
  <si>
    <t>X003T9BHGL</t>
  </si>
  <si>
    <t>PO260819034</t>
  </si>
  <si>
    <t>义乌市淋泓贸易有限公司</t>
  </si>
  <si>
    <t>2026-08-19 17:28:21</t>
  </si>
  <si>
    <t>HZ-白瞳孔眼睛(10-30mm) 80pc配测量工具</t>
  </si>
  <si>
    <t>WJ21730</t>
  </si>
  <si>
    <t>X004CT1VKJ</t>
  </si>
  <si>
    <t>PO260819037</t>
  </si>
  <si>
    <t>3316801693021006764</t>
  </si>
  <si>
    <t>汕头市澄海区贝雅迪玩具厂</t>
  </si>
  <si>
    <t>2026-08-20 19:43:58</t>
  </si>
  <si>
    <t>HZ-常规款冰雪泡泡棒三款*4 12pcs 打包好</t>
  </si>
  <si>
    <t>WJ218106</t>
  </si>
  <si>
    <t>PO260819038</t>
  </si>
  <si>
    <t>3316800829035042774</t>
  </si>
  <si>
    <t>杭州吉小喆文化创意有限公司</t>
  </si>
  <si>
    <t>2026-08-20 19:44:17</t>
  </si>
  <si>
    <t>HZ-常规款冰雪贴纸50pcs 打包好</t>
  </si>
  <si>
    <t>WJ218107</t>
  </si>
  <si>
    <t>PO260819039</t>
  </si>
  <si>
    <t>3316801945018006764</t>
  </si>
  <si>
    <t>义乌市奕浩注塑加工厂</t>
  </si>
  <si>
    <t>2026-08-20 19:35:10</t>
  </si>
  <si>
    <t>HZ-常规款冰雪仙女棒浅12pcs (蓝+紫+浅粉三色*4) 打包好</t>
  </si>
  <si>
    <t>WJ218109</t>
  </si>
  <si>
    <t>HZ-常规款冰雪戒指 （浅蓝+紫色+浅粉色）三色*4 12pcs打包好</t>
  </si>
  <si>
    <t>WJ218110</t>
  </si>
  <si>
    <t>PO260819040</t>
  </si>
  <si>
    <t>义乌市靓纱纺织品有限公司</t>
  </si>
  <si>
    <t>2026-08-20 14:49:42</t>
  </si>
  <si>
    <t>HZ-常规款冰雪湖蓝色纱袋 尺寸13*18cm, 12pcs打包好</t>
  </si>
  <si>
    <t>WJ218111</t>
  </si>
  <si>
    <t>PO260819042</t>
  </si>
  <si>
    <t>3316981368017006764</t>
  </si>
  <si>
    <t>深圳市长胜包装材料有限公司</t>
  </si>
  <si>
    <t>2026-08-20 19:35:04</t>
  </si>
  <si>
    <t>飞机盒包装盒 外尺寸34*16*5cm</t>
  </si>
  <si>
    <t>FL0668</t>
  </si>
  <si>
    <t>PO260819043</t>
  </si>
  <si>
    <t>3316358535023033592</t>
  </si>
  <si>
    <t>义乌市光利玩具厂</t>
  </si>
  <si>
    <t>HZ-67甜甜圈主题啪啪圈24pcs（12*2）-已打包好</t>
  </si>
  <si>
    <t>WJ227310</t>
  </si>
  <si>
    <t>PO260819044</t>
  </si>
  <si>
    <t>3316980108024033592</t>
  </si>
  <si>
    <t>苍南县龙港盈信纸制品厂</t>
  </si>
  <si>
    <t>HZ-67甜甜圈主题手撕纹身贴4pcs-已打包好</t>
  </si>
  <si>
    <t>WJ227311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</si>
</sst>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00;&quot;￥&quot;\-#,##0.0000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7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37" fontId="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./Files/image/9b73b772b13601e6ae335d610049ef19.png" TargetMode="External"/><Relationship Id="rId8" Type="http://schemas.openxmlformats.org/officeDocument/2006/relationships/hyperlink" Target="./Files/image/31def1a43398cd284ae6846f51954abb.png" TargetMode="External"/><Relationship Id="rId7" Type="http://schemas.openxmlformats.org/officeDocument/2006/relationships/hyperlink" Target="./Files/image/d15637ec5b535af4c6694a37133b77de.png" TargetMode="External"/><Relationship Id="rId6" Type="http://schemas.openxmlformats.org/officeDocument/2006/relationships/hyperlink" Target="./Files/image/2bf0202e0c8393cf6cdeb782b581fc09.png" TargetMode="External"/><Relationship Id="rId5" Type="http://schemas.openxmlformats.org/officeDocument/2006/relationships/hyperlink" Target="./Files/image/23061b7d963e8cc413a64034aad18b8d.jpg" TargetMode="External"/><Relationship Id="rId4" Type="http://schemas.openxmlformats.org/officeDocument/2006/relationships/hyperlink" Target="./Files/image/091a1692456cdb93fffa6f3cc071e958.jpg" TargetMode="External"/><Relationship Id="rId3" Type="http://schemas.openxmlformats.org/officeDocument/2006/relationships/hyperlink" Target="./Files/image/e02d8cc1dcc945449ba982f09b292a82.png" TargetMode="External"/><Relationship Id="rId2" Type="http://schemas.openxmlformats.org/officeDocument/2006/relationships/hyperlink" Target="./Files/image/18ad85cc972502e9b8d049c236831f24.png" TargetMode="External"/><Relationship Id="rId16" Type="http://schemas.openxmlformats.org/officeDocument/2006/relationships/hyperlink" Target="./Files/image/c136e0bee4d6c992b842eafff366dcb0.png" TargetMode="External"/><Relationship Id="rId15" Type="http://schemas.openxmlformats.org/officeDocument/2006/relationships/hyperlink" Target="./Files/image/c101c0acd3edb5b78457493617cc389f.png" TargetMode="External"/><Relationship Id="rId14" Type="http://schemas.openxmlformats.org/officeDocument/2006/relationships/hyperlink" Target="./Files/image/713e1c64af98259062366dd247a18975.png" TargetMode="External"/><Relationship Id="rId13" Type="http://schemas.openxmlformats.org/officeDocument/2006/relationships/hyperlink" Target="./Files/image/b7beb5371f279aae84d6cf30531be1bb.png" TargetMode="External"/><Relationship Id="rId12" Type="http://schemas.openxmlformats.org/officeDocument/2006/relationships/hyperlink" Target="./Files/image/0dc058d5bb41f2d34732843661d3969a.png" TargetMode="External"/><Relationship Id="rId11" Type="http://schemas.openxmlformats.org/officeDocument/2006/relationships/hyperlink" Target="./Files/image/07e25e92f52cceb5b3dbe0953dcb828a.png" TargetMode="External"/><Relationship Id="rId10" Type="http://schemas.openxmlformats.org/officeDocument/2006/relationships/hyperlink" Target="./Files/image/5eed6e8e8b013e6b434b074644bfa412.png" TargetMode="External"/><Relationship Id="rId1" Type="http://schemas.openxmlformats.org/officeDocument/2006/relationships/hyperlink" Target="./Files/image/c5d0eba865cf3a6f5709fe3e42d100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tabSelected="1" zoomScale="70" zoomScaleNormal="70" workbookViewId="0">
      <selection activeCell="B2" sqref="B2:B6"/>
    </sheetView>
  </sheetViews>
  <sheetFormatPr defaultColWidth="9" defaultRowHeight="13.5"/>
  <cols>
    <col min="1" max="15" width="20.7083333333333" style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70" customHeight="1" spans="1:15">
      <c r="A2" s="5" t="s">
        <v>15</v>
      </c>
      <c r="B2" s="5"/>
      <c r="C2" s="5" t="s">
        <v>16</v>
      </c>
      <c r="D2" s="5" t="s">
        <v>17</v>
      </c>
      <c r="E2" s="5"/>
      <c r="F2" s="5" t="s">
        <v>18</v>
      </c>
      <c r="G2" s="5" t="s">
        <v>19</v>
      </c>
      <c r="H2" s="5" t="s">
        <v>20</v>
      </c>
      <c r="I2" s="5" t="s">
        <v>21</v>
      </c>
      <c r="J2" s="6">
        <v>300</v>
      </c>
      <c r="K2" s="7">
        <v>12.9</v>
      </c>
      <c r="L2" s="6">
        <v>300</v>
      </c>
      <c r="M2" s="6">
        <v>0</v>
      </c>
      <c r="N2" s="8" t="str">
        <f>_xlfn.DISPIMG("ID_F0C898572B0A47839DBBC239E6634427",1)</f>
        <v>=DISPIMG("ID_F0C898572B0A47839DBBC239E6634427",1)</v>
      </c>
      <c r="O2" s="5" t="s">
        <v>22</v>
      </c>
    </row>
    <row r="3" ht="70" customHeight="1" spans="1:15">
      <c r="A3" s="5"/>
      <c r="B3" s="5"/>
      <c r="C3" s="5"/>
      <c r="D3" s="5"/>
      <c r="E3" s="5"/>
      <c r="F3" s="5" t="s">
        <v>23</v>
      </c>
      <c r="G3" s="5" t="s">
        <v>24</v>
      </c>
      <c r="H3" s="5" t="s">
        <v>20</v>
      </c>
      <c r="I3" s="5" t="s">
        <v>25</v>
      </c>
      <c r="J3" s="6">
        <v>400</v>
      </c>
      <c r="K3" s="7">
        <v>20.932</v>
      </c>
      <c r="L3" s="6">
        <v>400</v>
      </c>
      <c r="M3" s="6">
        <v>0</v>
      </c>
      <c r="N3" s="8" t="str">
        <f>_xlfn.DISPIMG("ID_5DC36FCF14F945D88466F3C053F47747",1)</f>
        <v>=DISPIMG("ID_5DC36FCF14F945D88466F3C053F47747",1)</v>
      </c>
      <c r="O3" s="5" t="s">
        <v>22</v>
      </c>
    </row>
    <row r="4" ht="70" customHeight="1" spans="1:15">
      <c r="A4" s="5"/>
      <c r="B4" s="5"/>
      <c r="C4" s="5"/>
      <c r="D4" s="5"/>
      <c r="E4" s="5"/>
      <c r="F4" s="5" t="s">
        <v>26</v>
      </c>
      <c r="G4" s="5" t="s">
        <v>27</v>
      </c>
      <c r="H4" s="5" t="s">
        <v>20</v>
      </c>
      <c r="I4" s="5" t="s">
        <v>28</v>
      </c>
      <c r="J4" s="6">
        <v>80</v>
      </c>
      <c r="K4" s="7">
        <v>17.666</v>
      </c>
      <c r="L4" s="6">
        <v>80</v>
      </c>
      <c r="M4" s="6">
        <v>0</v>
      </c>
      <c r="N4" s="8" t="str">
        <f>_xlfn.DISPIMG("ID_F41843260C5B480C8AF047361A9ABA62",1)</f>
        <v>=DISPIMG("ID_F41843260C5B480C8AF047361A9ABA62",1)</v>
      </c>
      <c r="O4" s="5" t="s">
        <v>22</v>
      </c>
    </row>
    <row r="5" ht="70" customHeight="1" spans="1:15">
      <c r="A5" s="5"/>
      <c r="B5" s="5"/>
      <c r="C5" s="5"/>
      <c r="D5" s="5"/>
      <c r="E5" s="5"/>
      <c r="F5" s="5" t="s">
        <v>26</v>
      </c>
      <c r="G5" s="5" t="s">
        <v>27</v>
      </c>
      <c r="H5" s="5" t="s">
        <v>29</v>
      </c>
      <c r="I5" s="5" t="s">
        <v>30</v>
      </c>
      <c r="J5" s="6">
        <v>50</v>
      </c>
      <c r="K5" s="7">
        <v>17.666</v>
      </c>
      <c r="L5" s="6">
        <v>50</v>
      </c>
      <c r="M5" s="6">
        <v>0</v>
      </c>
      <c r="N5" s="8" t="str">
        <f>_xlfn.DISPIMG("ID_FFAFB950242B44B8A5B50A7BAA83AC2B",1)</f>
        <v>=DISPIMG("ID_FFAFB950242B44B8A5B50A7BAA83AC2B",1)</v>
      </c>
      <c r="O5" s="5" t="s">
        <v>22</v>
      </c>
    </row>
    <row r="6" ht="70" customHeight="1" spans="1:15">
      <c r="A6" s="5"/>
      <c r="B6" s="5"/>
      <c r="C6" s="5"/>
      <c r="D6" s="5"/>
      <c r="E6" s="5"/>
      <c r="F6" s="5" t="s">
        <v>31</v>
      </c>
      <c r="G6" s="5" t="s">
        <v>32</v>
      </c>
      <c r="H6" s="5" t="s">
        <v>20</v>
      </c>
      <c r="I6" s="5" t="s">
        <v>33</v>
      </c>
      <c r="J6" s="6">
        <v>30</v>
      </c>
      <c r="K6" s="7">
        <v>13.73</v>
      </c>
      <c r="L6" s="6">
        <v>30</v>
      </c>
      <c r="M6" s="6">
        <v>0</v>
      </c>
      <c r="N6" s="8" t="str">
        <f>_xlfn.DISPIMG("ID_84D660BEA2174DD8890AD18B654A338E",1)</f>
        <v>=DISPIMG("ID_84D660BEA2174DD8890AD18B654A338E",1)</v>
      </c>
      <c r="O6" s="5" t="s">
        <v>22</v>
      </c>
    </row>
    <row r="7" ht="70" customHeight="1" spans="1:15">
      <c r="A7" s="5" t="s">
        <v>34</v>
      </c>
      <c r="B7" s="5"/>
      <c r="C7" s="5" t="s">
        <v>35</v>
      </c>
      <c r="D7" s="5" t="s">
        <v>36</v>
      </c>
      <c r="E7" s="5"/>
      <c r="F7" s="5" t="s">
        <v>37</v>
      </c>
      <c r="G7" s="5" t="s">
        <v>38</v>
      </c>
      <c r="H7" s="5" t="s">
        <v>29</v>
      </c>
      <c r="I7" s="5" t="s">
        <v>39</v>
      </c>
      <c r="J7" s="6">
        <v>100</v>
      </c>
      <c r="K7" s="7">
        <v>3.8</v>
      </c>
      <c r="L7" s="6">
        <v>100</v>
      </c>
      <c r="M7" s="6">
        <v>0</v>
      </c>
      <c r="N7" s="8" t="str">
        <f>_xlfn.DISPIMG("ID_A279820470814A9EBA5A75DA34024E16",1)</f>
        <v>=DISPIMG("ID_A279820470814A9EBA5A75DA34024E16",1)</v>
      </c>
      <c r="O7" s="5" t="s">
        <v>22</v>
      </c>
    </row>
    <row r="8" ht="70" customHeight="1" spans="1:15">
      <c r="A8" s="5" t="s">
        <v>40</v>
      </c>
      <c r="B8" s="5"/>
      <c r="C8" s="5" t="s">
        <v>41</v>
      </c>
      <c r="D8" s="5" t="s">
        <v>42</v>
      </c>
      <c r="E8" s="5"/>
      <c r="F8" s="5" t="s">
        <v>43</v>
      </c>
      <c r="G8" s="5" t="s">
        <v>44</v>
      </c>
      <c r="H8" s="5" t="s">
        <v>20</v>
      </c>
      <c r="I8" s="5" t="s">
        <v>45</v>
      </c>
      <c r="J8" s="6">
        <v>100</v>
      </c>
      <c r="K8" s="7">
        <v>15.51</v>
      </c>
      <c r="L8" s="6">
        <v>100</v>
      </c>
      <c r="M8" s="6">
        <v>0</v>
      </c>
      <c r="N8" s="8" t="str">
        <f>_xlfn.DISPIMG("ID_1A167BC9B4424D23B4323291B2A49627",1)</f>
        <v>=DISPIMG("ID_1A167BC9B4424D23B4323291B2A49627",1)</v>
      </c>
      <c r="O8" s="5" t="s">
        <v>22</v>
      </c>
    </row>
    <row r="9" ht="70" customHeight="1" spans="1:15">
      <c r="A9" s="5" t="s">
        <v>46</v>
      </c>
      <c r="B9" s="5"/>
      <c r="C9" s="5" t="s">
        <v>47</v>
      </c>
      <c r="D9" s="5" t="s">
        <v>48</v>
      </c>
      <c r="E9" s="5"/>
      <c r="F9" s="5" t="s">
        <v>49</v>
      </c>
      <c r="G9" s="5" t="s">
        <v>50</v>
      </c>
      <c r="H9" s="5" t="s">
        <v>20</v>
      </c>
      <c r="I9" s="5" t="s">
        <v>51</v>
      </c>
      <c r="J9" s="6">
        <v>150</v>
      </c>
      <c r="K9" s="7">
        <v>29</v>
      </c>
      <c r="L9" s="6">
        <v>150</v>
      </c>
      <c r="M9" s="6">
        <v>0</v>
      </c>
      <c r="N9" s="8" t="str">
        <f>_xlfn.DISPIMG("ID_E52FC0A0D5534C439AA1FB71CAF200DE",1)</f>
        <v>=DISPIMG("ID_E52FC0A0D5534C439AA1FB71CAF200DE",1)</v>
      </c>
      <c r="O9" s="5" t="s">
        <v>22</v>
      </c>
    </row>
    <row r="10" ht="70" customHeight="1" spans="1:15">
      <c r="A10" s="5" t="s">
        <v>52</v>
      </c>
      <c r="B10" s="5"/>
      <c r="C10" s="5" t="s">
        <v>53</v>
      </c>
      <c r="D10" s="5" t="s">
        <v>54</v>
      </c>
      <c r="E10" s="5"/>
      <c r="F10" s="5" t="s">
        <v>55</v>
      </c>
      <c r="G10" s="5" t="s">
        <v>56</v>
      </c>
      <c r="H10" s="5" t="s">
        <v>20</v>
      </c>
      <c r="I10" s="5" t="s">
        <v>57</v>
      </c>
      <c r="J10" s="6">
        <v>120</v>
      </c>
      <c r="K10" s="7">
        <v>10</v>
      </c>
      <c r="L10" s="6">
        <v>120</v>
      </c>
      <c r="M10" s="6">
        <v>0</v>
      </c>
      <c r="N10" s="8" t="str">
        <f>_xlfn.DISPIMG("ID_7F485DD943FC4071B661C6BAE36528A9",1)</f>
        <v>=DISPIMG("ID_7F485DD943FC4071B661C6BAE36528A9",1)</v>
      </c>
      <c r="O10" s="5" t="s">
        <v>22</v>
      </c>
    </row>
    <row r="11" ht="70" customHeight="1" spans="1:15">
      <c r="A11" s="5" t="s">
        <v>58</v>
      </c>
      <c r="B11" s="5" t="s">
        <v>59</v>
      </c>
      <c r="C11" s="5" t="s">
        <v>60</v>
      </c>
      <c r="D11" s="5" t="s">
        <v>61</v>
      </c>
      <c r="E11" s="5"/>
      <c r="F11" s="5" t="s">
        <v>62</v>
      </c>
      <c r="G11" s="5" t="s">
        <v>63</v>
      </c>
      <c r="H11" s="5"/>
      <c r="I11" s="5"/>
      <c r="J11" s="6">
        <v>210</v>
      </c>
      <c r="K11" s="7">
        <v>2.46</v>
      </c>
      <c r="L11" s="6">
        <v>210</v>
      </c>
      <c r="M11" s="6">
        <v>0</v>
      </c>
      <c r="N11" s="8" t="str">
        <f>_xlfn.DISPIMG("ID_3ADD1FDC468C4646889514890B96AC4A",1)</f>
        <v>=DISPIMG("ID_3ADD1FDC468C4646889514890B96AC4A",1)</v>
      </c>
      <c r="O11" s="5" t="s">
        <v>22</v>
      </c>
    </row>
    <row r="12" ht="70" customHeight="1" spans="1:15">
      <c r="A12" s="5" t="s">
        <v>64</v>
      </c>
      <c r="B12" s="5" t="s">
        <v>65</v>
      </c>
      <c r="C12" s="5" t="s">
        <v>66</v>
      </c>
      <c r="D12" s="5" t="s">
        <v>67</v>
      </c>
      <c r="E12" s="5"/>
      <c r="F12" s="5" t="s">
        <v>68</v>
      </c>
      <c r="G12" s="5" t="s">
        <v>69</v>
      </c>
      <c r="H12" s="5"/>
      <c r="I12" s="5"/>
      <c r="J12" s="6">
        <v>210</v>
      </c>
      <c r="K12" s="7">
        <v>2.2</v>
      </c>
      <c r="L12" s="6">
        <v>210</v>
      </c>
      <c r="M12" s="6">
        <v>0</v>
      </c>
      <c r="N12" s="8" t="str">
        <f>_xlfn.DISPIMG("ID_9D873707199148D3852075B8591A66DD",1)</f>
        <v>=DISPIMG("ID_9D873707199148D3852075B8591A66DD",1)</v>
      </c>
      <c r="O12" s="5" t="s">
        <v>22</v>
      </c>
    </row>
    <row r="13" ht="70" customHeight="1" spans="1:15">
      <c r="A13" s="5" t="s">
        <v>70</v>
      </c>
      <c r="B13" s="5" t="s">
        <v>71</v>
      </c>
      <c r="C13" s="5" t="s">
        <v>72</v>
      </c>
      <c r="D13" s="5" t="s">
        <v>73</v>
      </c>
      <c r="E13" s="5"/>
      <c r="F13" s="5" t="s">
        <v>74</v>
      </c>
      <c r="G13" s="5" t="s">
        <v>75</v>
      </c>
      <c r="H13" s="5"/>
      <c r="I13" s="5"/>
      <c r="J13" s="6">
        <v>210</v>
      </c>
      <c r="K13" s="7">
        <v>11.4</v>
      </c>
      <c r="L13" s="6">
        <v>210</v>
      </c>
      <c r="M13" s="6">
        <v>0</v>
      </c>
      <c r="N13" s="8" t="str">
        <f>_xlfn.DISPIMG("ID_A5D8A9507C6248F19F67B107B7B0F26D",1)</f>
        <v>=DISPIMG("ID_A5D8A9507C6248F19F67B107B7B0F26D",1)</v>
      </c>
      <c r="O13" s="5" t="s">
        <v>22</v>
      </c>
    </row>
    <row r="14" ht="70" customHeight="1" spans="1:15">
      <c r="A14" s="5"/>
      <c r="B14" s="5"/>
      <c r="C14" s="5"/>
      <c r="D14" s="5"/>
      <c r="E14" s="5"/>
      <c r="F14" s="5" t="s">
        <v>76</v>
      </c>
      <c r="G14" s="5" t="s">
        <v>77</v>
      </c>
      <c r="H14" s="5"/>
      <c r="I14" s="5"/>
      <c r="J14" s="6">
        <v>210</v>
      </c>
      <c r="K14" s="7">
        <v>2.16</v>
      </c>
      <c r="L14" s="6">
        <v>210</v>
      </c>
      <c r="M14" s="6">
        <v>0</v>
      </c>
      <c r="N14" s="8" t="str">
        <f>_xlfn.DISPIMG("ID_CFB17FFFE7854D7296E84E6C5D6974F3",1)</f>
        <v>=DISPIMG("ID_CFB17FFFE7854D7296E84E6C5D6974F3",1)</v>
      </c>
      <c r="O14" s="5" t="s">
        <v>22</v>
      </c>
    </row>
    <row r="15" ht="70" customHeight="1" spans="1:15">
      <c r="A15" s="5" t="s">
        <v>78</v>
      </c>
      <c r="B15" s="5"/>
      <c r="C15" s="5" t="s">
        <v>79</v>
      </c>
      <c r="D15" s="5" t="s">
        <v>80</v>
      </c>
      <c r="E15" s="5"/>
      <c r="F15" s="5" t="s">
        <v>81</v>
      </c>
      <c r="G15" s="5" t="s">
        <v>82</v>
      </c>
      <c r="H15" s="5"/>
      <c r="I15" s="5"/>
      <c r="J15" s="6">
        <v>210</v>
      </c>
      <c r="K15" s="7">
        <v>2.64</v>
      </c>
      <c r="L15" s="6">
        <v>210</v>
      </c>
      <c r="M15" s="6">
        <v>0</v>
      </c>
      <c r="N15" s="8" t="str">
        <f>_xlfn.DISPIMG("ID_D53966EC371447F5A8E672FE2E184183",1)</f>
        <v>=DISPIMG("ID_D53966EC371447F5A8E672FE2E184183",1)</v>
      </c>
      <c r="O15" s="5" t="s">
        <v>22</v>
      </c>
    </row>
    <row r="16" ht="70" customHeight="1" spans="1:15">
      <c r="A16" s="5" t="s">
        <v>83</v>
      </c>
      <c r="B16" s="5" t="s">
        <v>84</v>
      </c>
      <c r="C16" s="5" t="s">
        <v>85</v>
      </c>
      <c r="D16" s="5" t="s">
        <v>86</v>
      </c>
      <c r="E16" s="5"/>
      <c r="F16" s="5" t="s">
        <v>87</v>
      </c>
      <c r="G16" s="5" t="s">
        <v>88</v>
      </c>
      <c r="H16" s="5"/>
      <c r="I16" s="5"/>
      <c r="J16" s="6">
        <v>210</v>
      </c>
      <c r="K16" s="7">
        <v>1.2</v>
      </c>
      <c r="L16" s="6">
        <v>210</v>
      </c>
      <c r="M16" s="6">
        <v>0</v>
      </c>
      <c r="N16" s="8" t="str">
        <f>_xlfn.DISPIMG("ID_46021DF6BC834D1DB07806494924A153",1)</f>
        <v>=DISPIMG("ID_46021DF6BC834D1DB07806494924A153",1)</v>
      </c>
      <c r="O16" s="5" t="s">
        <v>22</v>
      </c>
    </row>
    <row r="17" ht="70" customHeight="1" spans="1:15">
      <c r="A17" s="5" t="s">
        <v>89</v>
      </c>
      <c r="B17" s="5" t="s">
        <v>90</v>
      </c>
      <c r="C17" s="5" t="s">
        <v>91</v>
      </c>
      <c r="D17" s="5" t="s">
        <v>86</v>
      </c>
      <c r="E17" s="5"/>
      <c r="F17" s="5" t="s">
        <v>92</v>
      </c>
      <c r="G17" s="5" t="s">
        <v>93</v>
      </c>
      <c r="H17" s="5"/>
      <c r="I17" s="5"/>
      <c r="J17" s="6">
        <v>200</v>
      </c>
      <c r="K17" s="7">
        <v>4.8</v>
      </c>
      <c r="L17" s="6">
        <v>200</v>
      </c>
      <c r="M17" s="6">
        <v>0</v>
      </c>
      <c r="N17" s="8" t="str">
        <f>_xlfn.DISPIMG("ID_65B6AE268706440E8A7AB4DC7C44ABB8",1)</f>
        <v>=DISPIMG("ID_65B6AE268706440E8A7AB4DC7C44ABB8",1)</v>
      </c>
      <c r="O17" s="5" t="s">
        <v>22</v>
      </c>
    </row>
    <row r="18" ht="70" customHeight="1" spans="1:15">
      <c r="A18" s="5" t="s">
        <v>94</v>
      </c>
      <c r="B18" s="5" t="s">
        <v>95</v>
      </c>
      <c r="C18" s="5" t="s">
        <v>96</v>
      </c>
      <c r="D18" s="5" t="s">
        <v>86</v>
      </c>
      <c r="E18" s="5"/>
      <c r="F18" s="5" t="s">
        <v>97</v>
      </c>
      <c r="G18" s="5" t="s">
        <v>98</v>
      </c>
      <c r="H18" s="5"/>
      <c r="I18" s="5"/>
      <c r="J18" s="6">
        <v>200</v>
      </c>
      <c r="K18" s="7">
        <v>3.28</v>
      </c>
      <c r="L18" s="6">
        <v>200</v>
      </c>
      <c r="M18" s="6">
        <v>0</v>
      </c>
      <c r="N18" s="8" t="str">
        <f>_xlfn.DISPIMG("ID_E802E67DC4E84DE9BD7078780778C929",1)</f>
        <v>=DISPIMG("ID_E802E67DC4E84DE9BD7078780778C929",1)</v>
      </c>
      <c r="O18" s="5" t="s">
        <v>22</v>
      </c>
    </row>
  </sheetData>
  <mergeCells count="8">
    <mergeCell ref="A2:A6"/>
    <mergeCell ref="A13:A14"/>
    <mergeCell ref="B2:B6"/>
    <mergeCell ref="B13:B14"/>
    <mergeCell ref="C2:C6"/>
    <mergeCell ref="C13:C14"/>
    <mergeCell ref="D2:D6"/>
    <mergeCell ref="D13:D14"/>
  </mergeCells>
  <hyperlinks>
    <hyperlink ref="N2" r:id="rId1" display="=DISPIMG(&quot;ID_F0C898572B0A47839DBBC239E6634427&quot;,1)"/>
    <hyperlink ref="N3" r:id="rId2" display="=DISPIMG(&quot;ID_5DC36FCF14F945D88466F3C053F47747&quot;,1)"/>
    <hyperlink ref="N4" r:id="rId3" display="=DISPIMG(&quot;ID_F41843260C5B480C8AF047361A9ABA62&quot;,1)"/>
    <hyperlink ref="N5" r:id="rId3" display="=DISPIMG(&quot;ID_FFAFB950242B44B8A5B50A7BAA83AC2B&quot;,1)"/>
    <hyperlink ref="N6" r:id="rId4" display="=DISPIMG(&quot;ID_84D660BEA2174DD8890AD18B654A338E&quot;,1)"/>
    <hyperlink ref="N7" r:id="rId5" display="=DISPIMG(&quot;ID_A279820470814A9EBA5A75DA34024E16&quot;,1)"/>
    <hyperlink ref="N8" r:id="rId6" display="=DISPIMG(&quot;ID_1A167BC9B4424D23B4323291B2A49627&quot;,1)"/>
    <hyperlink ref="N9" r:id="rId7" display="=DISPIMG(&quot;ID_E52FC0A0D5534C439AA1FB71CAF200DE&quot;,1)"/>
    <hyperlink ref="N10" r:id="rId8" display="=DISPIMG(&quot;ID_7F485DD943FC4071B661C6BAE36528A9&quot;,1)"/>
    <hyperlink ref="N11" r:id="rId9" display="=DISPIMG(&quot;ID_3ADD1FDC468C4646889514890B96AC4A&quot;,1)"/>
    <hyperlink ref="N12" r:id="rId10" display="=DISPIMG(&quot;ID_9D873707199148D3852075B8591A66DD&quot;,1)"/>
    <hyperlink ref="N13" r:id="rId11" display="=DISPIMG(&quot;ID_A5D8A9507C6248F19F67B107B7B0F26D&quot;,1)"/>
    <hyperlink ref="N14" r:id="rId12" display="=DISPIMG(&quot;ID_CFB17FFFE7854D7296E84E6C5D6974F3&quot;,1)"/>
    <hyperlink ref="N15" r:id="rId13" display="=DISPIMG(&quot;ID_D53966EC371447F5A8E672FE2E184183&quot;,1)"/>
    <hyperlink ref="N16" r:id="rId14" display="=DISPIMG(&quot;ID_46021DF6BC834D1DB07806494924A153&quot;,1)"/>
    <hyperlink ref="N17" r:id="rId15" display="=DISPIMG(&quot;ID_65B6AE268706440E8A7AB4DC7C44ABB8&quot;,1)"/>
    <hyperlink ref="N18" r:id="rId16" display="=DISPIMG(&quot;ID_E802E67DC4E84DE9BD7078780778C929&quot;,1)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"/>
    </sheetView>
  </sheetViews>
  <sheetFormatPr defaultColWidth="9" defaultRowHeight="13.5" outlineLevelCol="6"/>
  <cols>
    <col min="1" max="7" width="20.7083333333333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3" t="s">
        <v>9</v>
      </c>
      <c r="F1" s="3" t="s">
        <v>11</v>
      </c>
      <c r="G1" s="3" t="s">
        <v>12</v>
      </c>
    </row>
    <row r="2" ht="70" customHeight="1" spans="1:7">
      <c r="A2" s="1" t="s">
        <v>15</v>
      </c>
      <c r="C2" s="1" t="s">
        <v>16</v>
      </c>
      <c r="D2" s="1" t="s">
        <v>17</v>
      </c>
      <c r="E2" s="4">
        <v>860</v>
      </c>
      <c r="F2" s="4">
        <v>860</v>
      </c>
      <c r="G2" s="4">
        <v>0</v>
      </c>
    </row>
    <row r="3" ht="70" customHeight="1" spans="1:7">
      <c r="A3" s="1" t="s">
        <v>34</v>
      </c>
      <c r="C3" s="1" t="s">
        <v>35</v>
      </c>
      <c r="D3" s="1" t="s">
        <v>36</v>
      </c>
      <c r="E3" s="4">
        <v>100</v>
      </c>
      <c r="F3" s="4">
        <v>100</v>
      </c>
      <c r="G3" s="4">
        <v>0</v>
      </c>
    </row>
    <row r="4" ht="70" customHeight="1" spans="1:7">
      <c r="A4" s="1" t="s">
        <v>40</v>
      </c>
      <c r="C4" s="1" t="s">
        <v>41</v>
      </c>
      <c r="D4" s="1" t="s">
        <v>42</v>
      </c>
      <c r="E4" s="4">
        <v>100</v>
      </c>
      <c r="F4" s="4">
        <v>100</v>
      </c>
      <c r="G4" s="4">
        <v>0</v>
      </c>
    </row>
    <row r="5" ht="70" customHeight="1" spans="1:7">
      <c r="A5" s="1" t="s">
        <v>46</v>
      </c>
      <c r="C5" s="1" t="s">
        <v>47</v>
      </c>
      <c r="D5" s="1" t="s">
        <v>48</v>
      </c>
      <c r="E5" s="4">
        <v>150</v>
      </c>
      <c r="F5" s="4">
        <v>150</v>
      </c>
      <c r="G5" s="4">
        <v>0</v>
      </c>
    </row>
    <row r="6" ht="70" customHeight="1" spans="1:7">
      <c r="A6" s="1" t="s">
        <v>52</v>
      </c>
      <c r="C6" s="1" t="s">
        <v>53</v>
      </c>
      <c r="D6" s="1" t="s">
        <v>54</v>
      </c>
      <c r="E6" s="4">
        <v>120</v>
      </c>
      <c r="F6" s="4">
        <v>120</v>
      </c>
      <c r="G6" s="4">
        <v>0</v>
      </c>
    </row>
    <row r="7" ht="70" customHeight="1" spans="1:7">
      <c r="A7" s="1" t="s">
        <v>58</v>
      </c>
      <c r="B7" s="1" t="s">
        <v>59</v>
      </c>
      <c r="C7" s="1" t="s">
        <v>60</v>
      </c>
      <c r="D7" s="1" t="s">
        <v>61</v>
      </c>
      <c r="E7" s="4">
        <v>210</v>
      </c>
      <c r="F7" s="4">
        <v>210</v>
      </c>
      <c r="G7" s="4">
        <v>0</v>
      </c>
    </row>
    <row r="8" ht="70" customHeight="1" spans="1:7">
      <c r="A8" s="1" t="s">
        <v>64</v>
      </c>
      <c r="B8" s="1" t="s">
        <v>65</v>
      </c>
      <c r="C8" s="1" t="s">
        <v>66</v>
      </c>
      <c r="D8" s="1" t="s">
        <v>67</v>
      </c>
      <c r="E8" s="4">
        <v>210</v>
      </c>
      <c r="F8" s="4">
        <v>210</v>
      </c>
      <c r="G8" s="4">
        <v>0</v>
      </c>
    </row>
    <row r="9" ht="70" customHeight="1" spans="1:7">
      <c r="A9" s="1" t="s">
        <v>70</v>
      </c>
      <c r="B9" s="1" t="s">
        <v>71</v>
      </c>
      <c r="C9" s="1" t="s">
        <v>72</v>
      </c>
      <c r="D9" s="1" t="s">
        <v>73</v>
      </c>
      <c r="E9" s="4">
        <v>420</v>
      </c>
      <c r="F9" s="4">
        <v>420</v>
      </c>
      <c r="G9" s="4">
        <v>0</v>
      </c>
    </row>
    <row r="10" ht="70" customHeight="1" spans="1:7">
      <c r="A10" s="1" t="s">
        <v>78</v>
      </c>
      <c r="C10" s="1" t="s">
        <v>79</v>
      </c>
      <c r="D10" s="1" t="s">
        <v>80</v>
      </c>
      <c r="E10" s="4">
        <v>210</v>
      </c>
      <c r="F10" s="4">
        <v>210</v>
      </c>
      <c r="G10" s="4">
        <v>0</v>
      </c>
    </row>
    <row r="11" ht="70" customHeight="1" spans="1:7">
      <c r="A11" s="1" t="s">
        <v>83</v>
      </c>
      <c r="B11" s="1" t="s">
        <v>84</v>
      </c>
      <c r="C11" s="1" t="s">
        <v>85</v>
      </c>
      <c r="D11" s="1" t="s">
        <v>86</v>
      </c>
      <c r="E11" s="4">
        <v>210</v>
      </c>
      <c r="F11" s="4">
        <v>210</v>
      </c>
      <c r="G11" s="4">
        <v>0</v>
      </c>
    </row>
    <row r="12" ht="70" customHeight="1" spans="1:7">
      <c r="A12" s="1" t="s">
        <v>89</v>
      </c>
      <c r="B12" s="1" t="s">
        <v>90</v>
      </c>
      <c r="C12" s="1" t="s">
        <v>91</v>
      </c>
      <c r="D12" s="1" t="s">
        <v>86</v>
      </c>
      <c r="E12" s="4">
        <v>200</v>
      </c>
      <c r="F12" s="4">
        <v>200</v>
      </c>
      <c r="G12" s="4">
        <v>0</v>
      </c>
    </row>
    <row r="13" ht="70" customHeight="1" spans="1:7">
      <c r="A13" s="1" t="s">
        <v>94</v>
      </c>
      <c r="B13" s="1" t="s">
        <v>95</v>
      </c>
      <c r="C13" s="1" t="s">
        <v>96</v>
      </c>
      <c r="D13" s="1" t="s">
        <v>86</v>
      </c>
      <c r="E13" s="4">
        <v>200</v>
      </c>
      <c r="F13" s="4">
        <v>200</v>
      </c>
      <c r="G13" s="4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    <row r="1" ht="70" customHeight="1"/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    <row r="1" ht="70" customHeight="1"/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    <row r="1" ht="70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产品信息</vt:lpstr>
      <vt:lpstr>单据信息</vt:lpstr>
      <vt:lpstr>物流信息</vt:lpstr>
      <vt:lpstr>到货记录</vt:lpstr>
      <vt:lpstr>跟单记录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unlcc</cp:lastModifiedBy>
  <dcterms:created xsi:type="dcterms:W3CDTF">2026-08-24T02:31:00Z</dcterms:created>
  <dcterms:modified xsi:type="dcterms:W3CDTF">2026-08-24T05:42:25Z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B9A243F6E4BE4286995AAC02DDD43B59_13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